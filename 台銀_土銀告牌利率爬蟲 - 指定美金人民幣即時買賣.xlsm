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程式設計\財金程式\Excel_VBA金融資料抓取\給爸程式(可運行)\改爸程式\"/>
    </mc:Choice>
  </mc:AlternateContent>
  <xr:revisionPtr revIDLastSave="0" documentId="13_ncr:1_{36D9814C-8A6C-4128-8A6F-15CD5663AB26}" xr6:coauthVersionLast="41" xr6:coauthVersionMax="47" xr10:uidLastSave="{00000000-0000-0000-0000-000000000000}"/>
  <bookViews>
    <workbookView xWindow="-110" yWindow="-110" windowWidth="19420" windowHeight="10420" xr2:uid="{57CEC306-51AF-44F2-9757-33F830D759A2}"/>
  </bookViews>
  <sheets>
    <sheet name="所需資料參照" sheetId="5" r:id="rId1"/>
    <sheet name="整理" sheetId="6" r:id="rId2"/>
    <sheet name="台銀" sheetId="3" r:id="rId3"/>
    <sheet name="土銀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6" l="1"/>
  <c r="D4" i="5" s="1"/>
  <c r="D5" i="6"/>
  <c r="D5" i="5" s="1"/>
  <c r="C5" i="6"/>
  <c r="C5" i="5" s="1"/>
  <c r="C3" i="6"/>
  <c r="C3" i="5" s="1"/>
  <c r="D3" i="6"/>
  <c r="D3" i="5" s="1"/>
  <c r="D2" i="6"/>
  <c r="D2" i="5" s="1"/>
  <c r="C2" i="6"/>
  <c r="C2" i="5" s="1"/>
  <c r="C4" i="6"/>
  <c r="C4" i="5" s="1"/>
</calcChain>
</file>

<file path=xl/sharedStrings.xml><?xml version="1.0" encoding="utf-8"?>
<sst xmlns="http://schemas.openxmlformats.org/spreadsheetml/2006/main" count="169" uniqueCount="56">
  <si>
    <t>銀行</t>
    <phoneticPr fontId="1" type="noConversion"/>
  </si>
  <si>
    <t>即時買入</t>
    <phoneticPr fontId="1" type="noConversion"/>
  </si>
  <si>
    <t>幣種</t>
    <phoneticPr fontId="1" type="noConversion"/>
  </si>
  <si>
    <t>台銀</t>
    <phoneticPr fontId="1" type="noConversion"/>
  </si>
  <si>
    <t>土銀</t>
    <phoneticPr fontId="1" type="noConversion"/>
  </si>
  <si>
    <t>美金</t>
    <phoneticPr fontId="1" type="noConversion"/>
  </si>
  <si>
    <t>人民幣</t>
    <phoneticPr fontId="1" type="noConversion"/>
  </si>
  <si>
    <t>即時賣出</t>
    <phoneticPr fontId="1" type="noConversion"/>
  </si>
  <si>
    <t>幣別</t>
    <phoneticPr fontId="1" type="noConversion"/>
  </si>
  <si>
    <t>即期匯率</t>
    <phoneticPr fontId="1" type="noConversion"/>
  </si>
  <si>
    <t>現金匯率</t>
    <phoneticPr fontId="1" type="noConversion"/>
  </si>
  <si>
    <t>歷史匯率</t>
    <phoneticPr fontId="1" type="noConversion"/>
  </si>
  <si>
    <t>本行買入</t>
    <phoneticPr fontId="1" type="noConversion"/>
  </si>
  <si>
    <t>本行賣出</t>
    <phoneticPr fontId="1" type="noConversion"/>
  </si>
  <si>
    <t xml:space="preserve"> 美元 (USD) </t>
    <phoneticPr fontId="1" type="noConversion"/>
  </si>
  <si>
    <t xml:space="preserve"> 查詢  </t>
    <phoneticPr fontId="1" type="noConversion"/>
  </si>
  <si>
    <t xml:space="preserve"> 日圓 (JPY) </t>
    <phoneticPr fontId="1" type="noConversion"/>
  </si>
  <si>
    <t xml:space="preserve"> 英鎊 (GBP) </t>
    <phoneticPr fontId="1" type="noConversion"/>
  </si>
  <si>
    <t>--</t>
    <phoneticPr fontId="1" type="noConversion"/>
  </si>
  <si>
    <t xml:space="preserve"> 港幣 (HKD) </t>
    <phoneticPr fontId="1" type="noConversion"/>
  </si>
  <si>
    <t xml:space="preserve"> 澳幣 (AUD) </t>
    <phoneticPr fontId="1" type="noConversion"/>
  </si>
  <si>
    <t xml:space="preserve"> 加拿大幣 (CAD) </t>
    <phoneticPr fontId="1" type="noConversion"/>
  </si>
  <si>
    <t xml:space="preserve"> 新加坡幣 (SGD) </t>
    <phoneticPr fontId="1" type="noConversion"/>
  </si>
  <si>
    <t xml:space="preserve"> 瑞士法郎 (CHF) </t>
    <phoneticPr fontId="1" type="noConversion"/>
  </si>
  <si>
    <t xml:space="preserve"> 瑞典幣 (SEK) </t>
    <phoneticPr fontId="1" type="noConversion"/>
  </si>
  <si>
    <t xml:space="preserve"> 南非幣 (ZAR) </t>
    <phoneticPr fontId="1" type="noConversion"/>
  </si>
  <si>
    <t xml:space="preserve"> 泰幣 (THB) </t>
    <phoneticPr fontId="1" type="noConversion"/>
  </si>
  <si>
    <t xml:space="preserve"> 紐西蘭幣 (NZD) </t>
    <phoneticPr fontId="1" type="noConversion"/>
  </si>
  <si>
    <t xml:space="preserve"> 歐元 (EUR) </t>
    <phoneticPr fontId="1" type="noConversion"/>
  </si>
  <si>
    <t xml:space="preserve"> 人民幣 (CNY) </t>
    <phoneticPr fontId="1" type="noConversion"/>
  </si>
  <si>
    <t>遠期匯率</t>
    <phoneticPr fontId="1" type="noConversion"/>
  </si>
  <si>
    <t xml:space="preserve">本行買入  </t>
    <phoneticPr fontId="1" type="noConversion"/>
  </si>
  <si>
    <t xml:space="preserve">本行賣出  </t>
    <phoneticPr fontId="1" type="noConversion"/>
  </si>
  <si>
    <t xml:space="preserve">_x000D_
 _x000D_
_x000D_
_x000D_
美金 (USD) _x000D_
_x000D_
美金 (USD) </t>
    <phoneticPr fontId="1" type="noConversion"/>
  </si>
  <si>
    <t>查詢</t>
    <phoneticPr fontId="1" type="noConversion"/>
  </si>
  <si>
    <t xml:space="preserve">_x000D_
 _x000D_
_x000D_
_x000D_
港幣 (HKD) _x000D_
_x000D_
港幣 (HKD) </t>
    <phoneticPr fontId="1" type="noConversion"/>
  </si>
  <si>
    <t xml:space="preserve">_x000D_
 _x000D_
_x000D_
_x000D_
英鎊 (GBP) _x000D_
_x000D_
英鎊 (GBP) </t>
    <phoneticPr fontId="1" type="noConversion"/>
  </si>
  <si>
    <t xml:space="preserve">_x000D_
 _x000D_
_x000D_
_x000D_
澳幣 (AUD) _x000D_
_x000D_
澳幣 (AUD) </t>
    <phoneticPr fontId="1" type="noConversion"/>
  </si>
  <si>
    <t xml:space="preserve">_x000D_
 _x000D_
_x000D_
_x000D_
加拿大幣 (CAD) _x000D_
_x000D_
加拿大幣 (CAD) </t>
    <phoneticPr fontId="1" type="noConversion"/>
  </si>
  <si>
    <t xml:space="preserve">_x000D_
 _x000D_
_x000D_
_x000D_
新加坡幣 (SGD) _x000D_
_x000D_
新加坡幣 (SGD) </t>
    <phoneticPr fontId="1" type="noConversion"/>
  </si>
  <si>
    <t xml:space="preserve">_x000D_
 _x000D_
_x000D_
_x000D_
瑞士法郎 (CHF) _x000D_
_x000D_
瑞士法郎 (CHF) </t>
    <phoneticPr fontId="1" type="noConversion"/>
  </si>
  <si>
    <t xml:space="preserve">_x000D_
 _x000D_
_x000D_
_x000D_
日圓 (JPY) _x000D_
_x000D_
日圓 (JPY) </t>
    <phoneticPr fontId="1" type="noConversion"/>
  </si>
  <si>
    <t xml:space="preserve">_x000D_
 _x000D_
_x000D_
_x000D_
南非幣 (ZAR) _x000D_
_x000D_
南非幣 (ZAR) </t>
    <phoneticPr fontId="1" type="noConversion"/>
  </si>
  <si>
    <t>-</t>
    <phoneticPr fontId="1" type="noConversion"/>
  </si>
  <si>
    <t xml:space="preserve">_x000D_
 _x000D_
_x000D_
_x000D_
瑞典幣 (SEK) _x000D_
_x000D_
瑞典幣 (SEK) </t>
    <phoneticPr fontId="1" type="noConversion"/>
  </si>
  <si>
    <t xml:space="preserve">_x000D_
 _x000D_
_x000D_
_x000D_
紐元 (NZD) _x000D_
_x000D_
紐元 (NZD) </t>
    <phoneticPr fontId="1" type="noConversion"/>
  </si>
  <si>
    <t xml:space="preserve">_x000D_
 _x000D_
_x000D_
_x000D_
泰幣 (THB) _x000D_
_x000D_
泰幣 (THB) </t>
    <phoneticPr fontId="1" type="noConversion"/>
  </si>
  <si>
    <t xml:space="preserve">_x000D_
 _x000D_
_x000D_
_x000D_
菲國比索 (PHP) _x000D_
_x000D_
菲國比索 (PHP) </t>
    <phoneticPr fontId="1" type="noConversion"/>
  </si>
  <si>
    <t xml:space="preserve">- </t>
    <phoneticPr fontId="1" type="noConversion"/>
  </si>
  <si>
    <t xml:space="preserve">_x000D_
 _x000D_
_x000D_
_x000D_
印尼幣 (IDR) _x000D_
_x000D_
印尼幣 (IDR) </t>
    <phoneticPr fontId="1" type="noConversion"/>
  </si>
  <si>
    <t xml:space="preserve">_x000D_
 _x000D_
_x000D_
_x000D_
歐元 (EUR) _x000D_
_x000D_
歐元 (EUR) </t>
    <phoneticPr fontId="1" type="noConversion"/>
  </si>
  <si>
    <t xml:space="preserve">_x000D_
 _x000D_
_x000D_
_x000D_
韓元 (KRW) _x000D_
_x000D_
韓元 (KRW) </t>
    <phoneticPr fontId="1" type="noConversion"/>
  </si>
  <si>
    <t xml:space="preserve">_x000D_
 _x000D_
_x000D_
_x000D_
越南盾 (VND) _x000D_
_x000D_
越南盾 (VND) </t>
    <phoneticPr fontId="1" type="noConversion"/>
  </si>
  <si>
    <t xml:space="preserve">_x000D_
 _x000D_
_x000D_
_x000D_
馬來幣 (MYR) _x000D_
_x000D_
馬來幣 (MYR) </t>
    <phoneticPr fontId="1" type="noConversion"/>
  </si>
  <si>
    <t xml:space="preserve">_x000D_
 _x000D_
_x000D_
_x000D_
人民幣 (CNY) _x000D_
_x000D_
人民幣 (CNY) </t>
    <phoneticPr fontId="1" type="noConversion"/>
  </si>
  <si>
    <t>https://dotblogs.com.tw/ccenjor/2020/12/16/185837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</si>
</sst>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vertical="center" wrapText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273050</xdr:colOff>
          <xdr:row>1</xdr:row>
          <xdr:rowOff>50800</xdr:rowOff>
        </xdr:from>
        <xdr:to>
          <xdr:col>6</xdr:col>
          <xdr:colOff>488950</xdr:colOff>
          <xdr:row>2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一鍵更新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C664A-5EFD-4744-8C61-3471C30F9641}">
  <sheetPr codeName="工作表1"/>
  <dimension ref="A1:I8"/>
  <sheetViews>
    <sheetView tabSelected="1" workbookViewId="0">
      <selection activeCell="C2" sqref="C2"/>
    </sheetView>
  </sheetViews>
  <sheetFormatPr defaultRowHeight="17" x14ac:dyDescent="0.4"/>
  <cols>
    <col min="3" max="4" width="10.26953125" bestFit="1" customWidth="1"/>
  </cols>
  <sheetData>
    <row r="1" spans="1:9" x14ac:dyDescent="0.4">
      <c r="A1" t="s">
        <v>0</v>
      </c>
      <c r="B1" t="s">
        <v>2</v>
      </c>
      <c r="C1" t="s">
        <v>7</v>
      </c>
      <c r="D1" t="s">
        <v>1</v>
      </c>
    </row>
    <row r="2" spans="1:9" x14ac:dyDescent="0.4">
      <c r="A2" t="s">
        <v>3</v>
      </c>
      <c r="B2" t="s">
        <v>5</v>
      </c>
      <c r="C2">
        <f>整理!C2</f>
        <v>29.16</v>
      </c>
      <c r="D2">
        <f>整理!D2</f>
        <v>29.31</v>
      </c>
    </row>
    <row r="3" spans="1:9" x14ac:dyDescent="0.4">
      <c r="A3" t="s">
        <v>3</v>
      </c>
      <c r="B3" t="s">
        <v>6</v>
      </c>
      <c r="C3">
        <f>整理!C3</f>
        <v>4.5430000000000001</v>
      </c>
      <c r="D3">
        <f>整理!D3</f>
        <v>4.6029999999999998</v>
      </c>
    </row>
    <row r="4" spans="1:9" x14ac:dyDescent="0.4">
      <c r="A4" t="s">
        <v>4</v>
      </c>
      <c r="B4" t="s">
        <v>5</v>
      </c>
      <c r="C4">
        <f>整理!C4</f>
        <v>29.189</v>
      </c>
      <c r="D4">
        <f>整理!D4</f>
        <v>29.289000000000001</v>
      </c>
    </row>
    <row r="5" spans="1:9" x14ac:dyDescent="0.4">
      <c r="A5" t="s">
        <v>4</v>
      </c>
      <c r="B5" t="s">
        <v>6</v>
      </c>
      <c r="C5">
        <f>整理!C5</f>
        <v>4.5510000000000002</v>
      </c>
      <c r="D5">
        <f>整理!D5</f>
        <v>4.601</v>
      </c>
    </row>
    <row r="8" spans="1:9" x14ac:dyDescent="0.4">
      <c r="I8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工作表1.Main">
                <anchor moveWithCells="1" sizeWithCells="1">
                  <from>
                    <xdr:col>5</xdr:col>
                    <xdr:colOff>273050</xdr:colOff>
                    <xdr:row>1</xdr:row>
                    <xdr:rowOff>50800</xdr:rowOff>
                  </from>
                  <to>
                    <xdr:col>6</xdr:col>
                    <xdr:colOff>488950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00E9-B067-4926-8243-71390B52D76F}">
  <sheetPr codeName="工作表4"/>
  <dimension ref="A1:G5"/>
  <sheetViews>
    <sheetView zoomScale="70" zoomScaleNormal="70" workbookViewId="0">
      <selection activeCell="C2" sqref="C2"/>
    </sheetView>
  </sheetViews>
  <sheetFormatPr defaultRowHeight="17" x14ac:dyDescent="0.4"/>
  <cols>
    <col min="1" max="1" width="5.90625" bestFit="1" customWidth="1"/>
    <col min="2" max="2" width="16.36328125" bestFit="1" customWidth="1"/>
    <col min="3" max="4" width="10.26953125" bestFit="1" customWidth="1"/>
    <col min="7" max="7" width="45.81640625" bestFit="1" customWidth="1"/>
  </cols>
  <sheetData>
    <row r="1" spans="1:7" x14ac:dyDescent="0.4">
      <c r="C1" t="s">
        <v>7</v>
      </c>
      <c r="D1" t="s">
        <v>1</v>
      </c>
      <c r="G1" t="s">
        <v>55</v>
      </c>
    </row>
    <row r="2" spans="1:7" ht="119" x14ac:dyDescent="0.4">
      <c r="A2" t="s">
        <v>3</v>
      </c>
      <c r="B2" s="1" t="s">
        <v>33</v>
      </c>
      <c r="C2">
        <f>INDEX(台銀!D$3:D$21,MATCH($B2,台銀!$A$3:$A$21,0))</f>
        <v>29.16</v>
      </c>
      <c r="D2">
        <f>INDEX(台銀!E$3:E$21,MATCH($B2,台銀!$A$3:$A$21,0))</f>
        <v>29.31</v>
      </c>
    </row>
    <row r="3" spans="1:7" ht="119" x14ac:dyDescent="0.4">
      <c r="B3" s="1" t="s">
        <v>54</v>
      </c>
      <c r="C3">
        <f>INDEX(台銀!D$3:D$21,MATCH($B3,台銀!$A$3:$A$21,0))</f>
        <v>4.5430000000000001</v>
      </c>
      <c r="D3">
        <f>INDEX(台銀!E$3:E$21,MATCH($B3,台銀!$A$3:$A$21,0))</f>
        <v>4.6029999999999998</v>
      </c>
    </row>
    <row r="4" spans="1:7" x14ac:dyDescent="0.4">
      <c r="A4" t="s">
        <v>4</v>
      </c>
      <c r="B4" t="s">
        <v>14</v>
      </c>
      <c r="C4">
        <f>INDEX(土銀!B$3:B$16,MATCH($B4,土銀!$A$3:$A$16,0))</f>
        <v>29.189</v>
      </c>
      <c r="D4">
        <f>INDEX(土銀!C$3:C$16,MATCH($B4,土銀!$A$3:$A$16,0))</f>
        <v>29.289000000000001</v>
      </c>
    </row>
    <row r="5" spans="1:7" x14ac:dyDescent="0.4">
      <c r="B5" t="s">
        <v>29</v>
      </c>
      <c r="C5">
        <f>INDEX(土銀!B$3:B$16,MATCH($B5,土銀!$A$3:$A$16,0))</f>
        <v>4.5510000000000002</v>
      </c>
      <c r="D5">
        <f>INDEX(土銀!C$3:C$16,MATCH($B5,土銀!$A$3:$A$16,0))</f>
        <v>4.601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1B962-C5F7-4343-ADF4-467BF60D9EB4}">
  <sheetPr codeName="工作表2"/>
  <dimension ref="A1:N21"/>
  <sheetViews>
    <sheetView workbookViewId="0">
      <selection activeCell="A3" sqref="A3"/>
    </sheetView>
  </sheetViews>
  <sheetFormatPr defaultRowHeight="17" x14ac:dyDescent="0.4"/>
  <sheetData>
    <row r="1" spans="1:14" x14ac:dyDescent="0.4">
      <c r="A1" t="s">
        <v>8</v>
      </c>
      <c r="B1" t="s">
        <v>8</v>
      </c>
      <c r="C1" t="s">
        <v>10</v>
      </c>
      <c r="E1" t="s">
        <v>9</v>
      </c>
      <c r="G1" t="s">
        <v>30</v>
      </c>
      <c r="H1" t="s">
        <v>11</v>
      </c>
      <c r="I1" t="s">
        <v>11</v>
      </c>
      <c r="J1" t="s">
        <v>10</v>
      </c>
      <c r="L1" t="s">
        <v>9</v>
      </c>
    </row>
    <row r="2" spans="1:14" x14ac:dyDescent="0.4">
      <c r="B2" t="s">
        <v>31</v>
      </c>
      <c r="C2" t="s">
        <v>32</v>
      </c>
      <c r="D2" t="s">
        <v>31</v>
      </c>
      <c r="E2" t="s">
        <v>32</v>
      </c>
      <c r="G2" t="s">
        <v>12</v>
      </c>
      <c r="H2" t="s">
        <v>13</v>
      </c>
      <c r="I2" t="s">
        <v>12</v>
      </c>
      <c r="J2" t="s">
        <v>13</v>
      </c>
    </row>
    <row r="3" spans="1:14" ht="153" x14ac:dyDescent="0.4">
      <c r="A3" s="1" t="s">
        <v>33</v>
      </c>
      <c r="B3">
        <v>28.835000000000001</v>
      </c>
      <c r="C3">
        <v>29.504999999999999</v>
      </c>
      <c r="D3">
        <v>29.16</v>
      </c>
      <c r="E3">
        <v>29.31</v>
      </c>
      <c r="F3" t="s">
        <v>34</v>
      </c>
      <c r="G3" t="s">
        <v>34</v>
      </c>
      <c r="H3">
        <v>28.835000000000001</v>
      </c>
      <c r="I3">
        <v>29.504999999999999</v>
      </c>
      <c r="J3">
        <v>29.16</v>
      </c>
      <c r="K3">
        <v>29.31</v>
      </c>
      <c r="N3" s="1"/>
    </row>
    <row r="4" spans="1:14" ht="153" x14ac:dyDescent="0.4">
      <c r="A4" s="1" t="s">
        <v>35</v>
      </c>
      <c r="B4">
        <v>3.5720000000000001</v>
      </c>
      <c r="C4">
        <v>3.7759999999999998</v>
      </c>
      <c r="D4">
        <v>3.6930000000000001</v>
      </c>
      <c r="E4">
        <v>3.7629999999999999</v>
      </c>
      <c r="F4" t="s">
        <v>34</v>
      </c>
      <c r="G4" t="s">
        <v>34</v>
      </c>
      <c r="H4">
        <v>3.5720000000000001</v>
      </c>
      <c r="I4">
        <v>3.7759999999999998</v>
      </c>
      <c r="J4">
        <v>3.6930000000000001</v>
      </c>
      <c r="K4">
        <v>3.7629999999999999</v>
      </c>
    </row>
    <row r="5" spans="1:14" ht="153" x14ac:dyDescent="0.4">
      <c r="A5" s="1" t="s">
        <v>36</v>
      </c>
      <c r="B5">
        <v>36.9</v>
      </c>
      <c r="C5">
        <v>39.020000000000003</v>
      </c>
      <c r="D5">
        <v>37.795000000000002</v>
      </c>
      <c r="E5">
        <v>38.424999999999997</v>
      </c>
      <c r="F5" t="s">
        <v>34</v>
      </c>
      <c r="G5" t="s">
        <v>34</v>
      </c>
      <c r="H5">
        <v>36.9</v>
      </c>
      <c r="I5">
        <v>39.020000000000003</v>
      </c>
      <c r="J5">
        <v>37.795000000000002</v>
      </c>
      <c r="K5">
        <v>38.424999999999997</v>
      </c>
    </row>
    <row r="6" spans="1:14" ht="153" x14ac:dyDescent="0.4">
      <c r="A6" s="1" t="s">
        <v>37</v>
      </c>
      <c r="B6">
        <v>21.18</v>
      </c>
      <c r="C6">
        <v>21.96</v>
      </c>
      <c r="D6">
        <v>21.395</v>
      </c>
      <c r="E6">
        <v>21.74</v>
      </c>
      <c r="F6" t="s">
        <v>34</v>
      </c>
      <c r="G6" t="s">
        <v>34</v>
      </c>
      <c r="H6">
        <v>21.18</v>
      </c>
      <c r="I6">
        <v>21.96</v>
      </c>
      <c r="J6">
        <v>21.395</v>
      </c>
      <c r="K6">
        <v>21.74</v>
      </c>
    </row>
    <row r="7" spans="1:14" ht="187" x14ac:dyDescent="0.4">
      <c r="A7" s="1" t="s">
        <v>38</v>
      </c>
      <c r="B7">
        <v>22.72</v>
      </c>
      <c r="C7">
        <v>23.63</v>
      </c>
      <c r="D7">
        <v>23.05</v>
      </c>
      <c r="E7">
        <v>23.38</v>
      </c>
      <c r="F7" t="s">
        <v>34</v>
      </c>
      <c r="G7" t="s">
        <v>34</v>
      </c>
      <c r="H7">
        <v>22.72</v>
      </c>
      <c r="I7">
        <v>23.63</v>
      </c>
      <c r="J7">
        <v>23.05</v>
      </c>
      <c r="K7">
        <v>23.38</v>
      </c>
    </row>
    <row r="8" spans="1:14" ht="187" x14ac:dyDescent="0.4">
      <c r="A8" s="1" t="s">
        <v>39</v>
      </c>
      <c r="B8">
        <v>20.83</v>
      </c>
      <c r="C8">
        <v>21.74</v>
      </c>
      <c r="D8">
        <v>21.3</v>
      </c>
      <c r="E8">
        <v>21.52</v>
      </c>
      <c r="F8" t="s">
        <v>34</v>
      </c>
      <c r="G8" t="s">
        <v>34</v>
      </c>
      <c r="H8">
        <v>20.83</v>
      </c>
      <c r="I8">
        <v>21.74</v>
      </c>
      <c r="J8">
        <v>21.3</v>
      </c>
      <c r="K8">
        <v>21.52</v>
      </c>
    </row>
    <row r="9" spans="1:14" ht="187" x14ac:dyDescent="0.4">
      <c r="A9" s="1" t="s">
        <v>40</v>
      </c>
      <c r="B9">
        <v>30.07</v>
      </c>
      <c r="C9">
        <v>31.27</v>
      </c>
      <c r="D9">
        <v>30.68</v>
      </c>
      <c r="E9">
        <v>31.07</v>
      </c>
      <c r="F9" t="s">
        <v>34</v>
      </c>
      <c r="G9" t="s">
        <v>34</v>
      </c>
      <c r="H9">
        <v>30.07</v>
      </c>
      <c r="I9">
        <v>31.27</v>
      </c>
      <c r="J9">
        <v>30.68</v>
      </c>
      <c r="K9">
        <v>31.07</v>
      </c>
    </row>
    <row r="10" spans="1:14" ht="153" x14ac:dyDescent="0.4">
      <c r="A10" s="1" t="s">
        <v>41</v>
      </c>
      <c r="B10">
        <v>0.21859999999999999</v>
      </c>
      <c r="C10">
        <v>0.23139999999999999</v>
      </c>
      <c r="D10">
        <v>0.22539999999999999</v>
      </c>
      <c r="E10">
        <v>0.23039999999999999</v>
      </c>
      <c r="F10" t="s">
        <v>34</v>
      </c>
      <c r="G10" t="s">
        <v>34</v>
      </c>
      <c r="H10">
        <v>0.21859999999999999</v>
      </c>
      <c r="I10">
        <v>0.23139999999999999</v>
      </c>
      <c r="J10">
        <v>0.22539999999999999</v>
      </c>
      <c r="K10">
        <v>0.23039999999999999</v>
      </c>
    </row>
    <row r="11" spans="1:14" ht="153" x14ac:dyDescent="0.4">
      <c r="A11" s="1" t="s">
        <v>42</v>
      </c>
      <c r="B11" t="s">
        <v>43</v>
      </c>
      <c r="C11" t="s">
        <v>43</v>
      </c>
      <c r="D11">
        <v>1.9330000000000001</v>
      </c>
      <c r="E11">
        <v>2.0230000000000001</v>
      </c>
      <c r="F11" t="s">
        <v>34</v>
      </c>
      <c r="G11" t="s">
        <v>34</v>
      </c>
      <c r="H11" t="s">
        <v>43</v>
      </c>
      <c r="I11" t="s">
        <v>43</v>
      </c>
      <c r="J11">
        <v>1.9330000000000001</v>
      </c>
      <c r="K11">
        <v>2.0230000000000001</v>
      </c>
    </row>
    <row r="12" spans="1:14" ht="153" x14ac:dyDescent="0.4">
      <c r="A12" s="1" t="s">
        <v>44</v>
      </c>
      <c r="B12">
        <v>2.67</v>
      </c>
      <c r="C12">
        <v>3.19</v>
      </c>
      <c r="D12">
        <v>3</v>
      </c>
      <c r="E12">
        <v>3.12</v>
      </c>
      <c r="F12" t="s">
        <v>34</v>
      </c>
      <c r="G12" t="s">
        <v>34</v>
      </c>
      <c r="H12">
        <v>2.67</v>
      </c>
      <c r="I12">
        <v>3.19</v>
      </c>
      <c r="J12">
        <v>3</v>
      </c>
      <c r="K12">
        <v>3.12</v>
      </c>
    </row>
    <row r="13" spans="1:14" ht="153" x14ac:dyDescent="0.4">
      <c r="A13" s="1" t="s">
        <v>45</v>
      </c>
      <c r="B13">
        <v>19.25</v>
      </c>
      <c r="C13">
        <v>20.100000000000001</v>
      </c>
      <c r="D13">
        <v>19.579999999999998</v>
      </c>
      <c r="E13">
        <v>19.88</v>
      </c>
      <c r="F13" t="s">
        <v>34</v>
      </c>
      <c r="G13" t="s">
        <v>34</v>
      </c>
      <c r="H13">
        <v>19.25</v>
      </c>
      <c r="I13">
        <v>20.100000000000001</v>
      </c>
      <c r="J13">
        <v>19.579999999999998</v>
      </c>
      <c r="K13">
        <v>19.88</v>
      </c>
    </row>
    <row r="14" spans="1:14" ht="153" x14ac:dyDescent="0.4">
      <c r="A14" s="1" t="s">
        <v>46</v>
      </c>
      <c r="B14">
        <v>0.73929999999999996</v>
      </c>
      <c r="C14">
        <v>0.92930000000000001</v>
      </c>
      <c r="D14">
        <v>0.84870000000000001</v>
      </c>
      <c r="E14">
        <v>0.89470000000000005</v>
      </c>
      <c r="F14" t="s">
        <v>34</v>
      </c>
      <c r="G14" t="s">
        <v>34</v>
      </c>
      <c r="H14">
        <v>0.73929999999999996</v>
      </c>
      <c r="I14">
        <v>0.92930000000000001</v>
      </c>
      <c r="J14">
        <v>0.84870000000000001</v>
      </c>
      <c r="K14">
        <v>0.89470000000000005</v>
      </c>
    </row>
    <row r="15" spans="1:14" ht="170" x14ac:dyDescent="0.4">
      <c r="A15" s="1" t="s">
        <v>47</v>
      </c>
      <c r="B15">
        <v>0.48359999999999997</v>
      </c>
      <c r="C15">
        <v>0.61660000000000004</v>
      </c>
      <c r="D15" t="s">
        <v>48</v>
      </c>
      <c r="E15" t="s">
        <v>48</v>
      </c>
      <c r="F15" t="s">
        <v>34</v>
      </c>
      <c r="G15" t="s">
        <v>34</v>
      </c>
      <c r="H15">
        <v>0.48359999999999997</v>
      </c>
      <c r="I15">
        <v>0.61660000000000004</v>
      </c>
      <c r="J15" t="s">
        <v>43</v>
      </c>
      <c r="K15" t="s">
        <v>43</v>
      </c>
    </row>
    <row r="16" spans="1:14" ht="153" x14ac:dyDescent="0.4">
      <c r="A16" s="1" t="s">
        <v>49</v>
      </c>
      <c r="B16">
        <v>1.6800000000000001E-3</v>
      </c>
      <c r="C16">
        <v>2.3800000000000002E-3</v>
      </c>
      <c r="D16" t="s">
        <v>48</v>
      </c>
      <c r="E16" t="s">
        <v>48</v>
      </c>
      <c r="F16" t="s">
        <v>34</v>
      </c>
      <c r="G16" t="s">
        <v>34</v>
      </c>
      <c r="H16">
        <v>1.6800000000000001E-3</v>
      </c>
      <c r="I16">
        <v>2.3800000000000002E-3</v>
      </c>
      <c r="J16" t="s">
        <v>43</v>
      </c>
      <c r="K16" t="s">
        <v>43</v>
      </c>
    </row>
    <row r="17" spans="1:11" ht="153" x14ac:dyDescent="0.4">
      <c r="A17" s="1" t="s">
        <v>50</v>
      </c>
      <c r="B17">
        <v>30.77</v>
      </c>
      <c r="C17">
        <v>32.11</v>
      </c>
      <c r="D17">
        <v>31.285</v>
      </c>
      <c r="E17">
        <v>31.885000000000002</v>
      </c>
      <c r="F17" t="s">
        <v>34</v>
      </c>
      <c r="G17" t="s">
        <v>34</v>
      </c>
      <c r="H17">
        <v>30.77</v>
      </c>
      <c r="I17">
        <v>32.11</v>
      </c>
      <c r="J17">
        <v>31.285</v>
      </c>
      <c r="K17">
        <v>31.885000000000002</v>
      </c>
    </row>
    <row r="18" spans="1:11" ht="153" x14ac:dyDescent="0.4">
      <c r="A18" s="1" t="s">
        <v>51</v>
      </c>
      <c r="B18">
        <v>2.1870000000000001E-2</v>
      </c>
      <c r="C18">
        <v>2.5770000000000001E-2</v>
      </c>
      <c r="D18" t="s">
        <v>48</v>
      </c>
      <c r="E18" t="s">
        <v>48</v>
      </c>
      <c r="F18" t="s">
        <v>34</v>
      </c>
      <c r="G18" t="s">
        <v>34</v>
      </c>
      <c r="H18">
        <v>2.1870000000000001E-2</v>
      </c>
      <c r="I18">
        <v>2.5770000000000001E-2</v>
      </c>
      <c r="J18" t="s">
        <v>43</v>
      </c>
      <c r="K18" t="s">
        <v>43</v>
      </c>
    </row>
    <row r="19" spans="1:11" ht="153" x14ac:dyDescent="0.4">
      <c r="A19" s="1" t="s">
        <v>52</v>
      </c>
      <c r="B19">
        <v>1.0300000000000001E-3</v>
      </c>
      <c r="C19">
        <v>1.4400000000000001E-3</v>
      </c>
      <c r="D19" t="s">
        <v>48</v>
      </c>
      <c r="E19" t="s">
        <v>48</v>
      </c>
      <c r="F19" t="s">
        <v>34</v>
      </c>
      <c r="G19" t="s">
        <v>34</v>
      </c>
      <c r="H19">
        <v>1.0300000000000001E-3</v>
      </c>
      <c r="I19">
        <v>1.4400000000000001E-3</v>
      </c>
      <c r="J19" t="s">
        <v>43</v>
      </c>
      <c r="K19" t="s">
        <v>43</v>
      </c>
    </row>
    <row r="20" spans="1:11" ht="153" x14ac:dyDescent="0.4">
      <c r="A20" s="1" t="s">
        <v>53</v>
      </c>
      <c r="B20">
        <v>5.86</v>
      </c>
      <c r="C20">
        <v>7.34</v>
      </c>
      <c r="D20" t="s">
        <v>48</v>
      </c>
      <c r="E20" t="s">
        <v>48</v>
      </c>
      <c r="F20" t="s">
        <v>34</v>
      </c>
      <c r="G20" t="s">
        <v>34</v>
      </c>
      <c r="H20">
        <v>5.86</v>
      </c>
      <c r="I20">
        <v>7.34</v>
      </c>
      <c r="J20" t="s">
        <v>43</v>
      </c>
      <c r="K20" t="s">
        <v>43</v>
      </c>
    </row>
    <row r="21" spans="1:11" ht="153" x14ac:dyDescent="0.4">
      <c r="A21" s="1" t="s">
        <v>54</v>
      </c>
      <c r="B21">
        <v>4.476</v>
      </c>
      <c r="C21">
        <v>4.6379999999999999</v>
      </c>
      <c r="D21">
        <v>4.5430000000000001</v>
      </c>
      <c r="E21">
        <v>4.6029999999999998</v>
      </c>
      <c r="F21" t="s">
        <v>34</v>
      </c>
      <c r="G21" t="s">
        <v>34</v>
      </c>
      <c r="H21">
        <v>4.476</v>
      </c>
      <c r="I21">
        <v>4.6379999999999999</v>
      </c>
      <c r="J21">
        <v>4.5430000000000001</v>
      </c>
      <c r="K21">
        <v>4.6029999999999998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8750A-5E31-4685-BF88-91EB9DDE5D47}">
  <sheetPr codeName="工作表3"/>
  <dimension ref="A1:F16"/>
  <sheetViews>
    <sheetView workbookViewId="0">
      <selection activeCell="M6" sqref="M6"/>
    </sheetView>
  </sheetViews>
  <sheetFormatPr defaultRowHeight="17" x14ac:dyDescent="0.4"/>
  <cols>
    <col min="1" max="1" width="18.453125" bestFit="1" customWidth="1"/>
    <col min="2" max="4" width="10.26953125" bestFit="1" customWidth="1"/>
    <col min="5" max="5" width="7.36328125" bestFit="1" customWidth="1"/>
    <col min="6" max="6" width="7.54296875" bestFit="1" customWidth="1"/>
  </cols>
  <sheetData>
    <row r="1" spans="1:6" x14ac:dyDescent="0.4">
      <c r="A1" t="s">
        <v>8</v>
      </c>
      <c r="B1" t="s">
        <v>9</v>
      </c>
      <c r="C1" t="s">
        <v>10</v>
      </c>
      <c r="D1" t="s">
        <v>11</v>
      </c>
    </row>
    <row r="2" spans="1:6" x14ac:dyDescent="0.4">
      <c r="A2" t="s">
        <v>12</v>
      </c>
      <c r="B2" t="s">
        <v>13</v>
      </c>
      <c r="C2" t="s">
        <v>12</v>
      </c>
      <c r="D2" t="s">
        <v>13</v>
      </c>
    </row>
    <row r="3" spans="1:6" x14ac:dyDescent="0.4">
      <c r="A3" t="s">
        <v>14</v>
      </c>
      <c r="B3">
        <v>29.189</v>
      </c>
      <c r="C3">
        <v>29.289000000000001</v>
      </c>
      <c r="D3">
        <v>28.809000000000001</v>
      </c>
      <c r="E3">
        <v>29.518999999999998</v>
      </c>
      <c r="F3" t="s">
        <v>15</v>
      </c>
    </row>
    <row r="4" spans="1:6" x14ac:dyDescent="0.4">
      <c r="A4" t="s">
        <v>16</v>
      </c>
      <c r="B4">
        <v>0.2263</v>
      </c>
      <c r="C4">
        <v>0.2303</v>
      </c>
      <c r="D4">
        <v>0.22070000000000001</v>
      </c>
      <c r="E4">
        <v>0.2324</v>
      </c>
      <c r="F4" t="s">
        <v>15</v>
      </c>
    </row>
    <row r="5" spans="1:6" x14ac:dyDescent="0.4">
      <c r="A5" t="s">
        <v>17</v>
      </c>
      <c r="B5">
        <v>37.85</v>
      </c>
      <c r="C5">
        <v>38.25</v>
      </c>
      <c r="D5" t="s">
        <v>18</v>
      </c>
      <c r="E5" t="s">
        <v>18</v>
      </c>
      <c r="F5" t="s">
        <v>15</v>
      </c>
    </row>
    <row r="6" spans="1:6" x14ac:dyDescent="0.4">
      <c r="A6" t="s">
        <v>19</v>
      </c>
      <c r="B6">
        <v>3.698</v>
      </c>
      <c r="C6">
        <v>3.758</v>
      </c>
      <c r="D6">
        <v>3.6080000000000001</v>
      </c>
      <c r="E6">
        <v>3.7879999999999998</v>
      </c>
      <c r="F6" t="s">
        <v>15</v>
      </c>
    </row>
    <row r="7" spans="1:6" x14ac:dyDescent="0.4">
      <c r="A7" t="s">
        <v>20</v>
      </c>
      <c r="B7">
        <v>21.49</v>
      </c>
      <c r="C7">
        <v>21.69</v>
      </c>
      <c r="D7">
        <v>21.24</v>
      </c>
      <c r="E7">
        <v>21.94</v>
      </c>
      <c r="F7" t="s">
        <v>15</v>
      </c>
    </row>
    <row r="8" spans="1:6" x14ac:dyDescent="0.4">
      <c r="A8" t="s">
        <v>21</v>
      </c>
      <c r="B8">
        <v>23.15</v>
      </c>
      <c r="C8">
        <v>23.33</v>
      </c>
      <c r="D8">
        <v>22.87</v>
      </c>
      <c r="E8">
        <v>23.61</v>
      </c>
      <c r="F8" t="s">
        <v>15</v>
      </c>
    </row>
    <row r="9" spans="1:6" x14ac:dyDescent="0.4">
      <c r="A9" t="s">
        <v>22</v>
      </c>
      <c r="B9">
        <v>21.33</v>
      </c>
      <c r="C9">
        <v>21.49</v>
      </c>
      <c r="D9" t="s">
        <v>18</v>
      </c>
      <c r="E9" t="s">
        <v>18</v>
      </c>
      <c r="F9" t="s">
        <v>15</v>
      </c>
    </row>
    <row r="10" spans="1:6" x14ac:dyDescent="0.4">
      <c r="A10" t="s">
        <v>23</v>
      </c>
      <c r="B10">
        <v>30.84</v>
      </c>
      <c r="C10">
        <v>31.04</v>
      </c>
      <c r="D10" t="s">
        <v>18</v>
      </c>
      <c r="E10" t="s">
        <v>18</v>
      </c>
      <c r="F10" t="s">
        <v>15</v>
      </c>
    </row>
    <row r="11" spans="1:6" x14ac:dyDescent="0.4">
      <c r="A11" t="s">
        <v>24</v>
      </c>
      <c r="B11">
        <v>3.03</v>
      </c>
      <c r="C11">
        <v>3.09</v>
      </c>
      <c r="D11" t="s">
        <v>18</v>
      </c>
      <c r="E11" t="s">
        <v>18</v>
      </c>
      <c r="F11" t="s">
        <v>15</v>
      </c>
    </row>
    <row r="12" spans="1:6" x14ac:dyDescent="0.4">
      <c r="A12" t="s">
        <v>25</v>
      </c>
      <c r="B12">
        <v>1.9350000000000001</v>
      </c>
      <c r="C12">
        <v>2.0350000000000001</v>
      </c>
      <c r="D12" t="s">
        <v>18</v>
      </c>
      <c r="E12" t="s">
        <v>18</v>
      </c>
      <c r="F12" t="s">
        <v>15</v>
      </c>
    </row>
    <row r="13" spans="1:6" x14ac:dyDescent="0.4">
      <c r="A13" t="s">
        <v>26</v>
      </c>
      <c r="B13">
        <v>0.84189999999999998</v>
      </c>
      <c r="C13">
        <v>0.89190000000000003</v>
      </c>
      <c r="D13" t="s">
        <v>18</v>
      </c>
      <c r="E13" t="s">
        <v>18</v>
      </c>
      <c r="F13" t="s">
        <v>15</v>
      </c>
    </row>
    <row r="14" spans="1:6" x14ac:dyDescent="0.4">
      <c r="A14" t="s">
        <v>27</v>
      </c>
      <c r="B14">
        <v>19.63</v>
      </c>
      <c r="C14">
        <v>19.829999999999998</v>
      </c>
      <c r="D14" t="s">
        <v>18</v>
      </c>
      <c r="E14" t="s">
        <v>18</v>
      </c>
      <c r="F14" t="s">
        <v>15</v>
      </c>
    </row>
    <row r="15" spans="1:6" x14ac:dyDescent="0.4">
      <c r="A15" t="s">
        <v>28</v>
      </c>
      <c r="B15">
        <v>31.39</v>
      </c>
      <c r="C15">
        <v>31.75</v>
      </c>
      <c r="D15">
        <v>30.97</v>
      </c>
      <c r="E15">
        <v>32.020000000000003</v>
      </c>
      <c r="F15" t="s">
        <v>15</v>
      </c>
    </row>
    <row r="16" spans="1:6" x14ac:dyDescent="0.4">
      <c r="A16" t="s">
        <v>29</v>
      </c>
      <c r="B16">
        <v>4.5510000000000002</v>
      </c>
      <c r="C16">
        <v>4.601</v>
      </c>
      <c r="D16">
        <v>4.476</v>
      </c>
      <c r="E16">
        <v>4.641</v>
      </c>
      <c r="F16" t="s">
        <v>15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所需資料參照</vt:lpstr>
      <vt:lpstr>整理</vt:lpstr>
      <vt:lpstr>台銀</vt:lpstr>
      <vt:lpstr>土銀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</dc:creator>
  <cp:lastModifiedBy>bill</cp:lastModifiedBy>
  <dcterms:created xsi:type="dcterms:W3CDTF">2021-07-20T08:49:37Z</dcterms:created>
  <dcterms:modified xsi:type="dcterms:W3CDTF">2022-04-19T10:16:20Z</dcterms:modified>
</cp:coreProperties>
</file>